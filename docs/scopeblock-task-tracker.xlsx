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5nar\KPITInternship\Autonomation\docs\"/>
    </mc:Choice>
  </mc:AlternateContent>
  <xr:revisionPtr revIDLastSave="0" documentId="13_ncr:1_{0A22DA9D-DA15-4406-BE13-74F0153A833F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Task Tracker" sheetId="1" r:id="rId1"/>
    <sheet name="Sheet 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B3" i="4"/>
  <c r="C3" i="1"/>
  <c r="B3" i="1"/>
</calcChain>
</file>

<file path=xl/sharedStrings.xml><?xml version="1.0" encoding="utf-8"?>
<sst xmlns="http://schemas.openxmlformats.org/spreadsheetml/2006/main" count="250" uniqueCount="138">
  <si>
    <t>scopeblock — Task Tracker</t>
  </si>
  <si>
    <t>For each row: set Status and % Complete as you go. 'Description' is what you must do for that activity to be Done.</t>
  </si>
  <si>
    <t>Overall progress:</t>
  </si>
  <si>
    <t>ID</t>
  </si>
  <si>
    <t>Function</t>
  </si>
  <si>
    <t>Activity (what to do)</t>
  </si>
  <si>
    <t>Description — done when</t>
  </si>
  <si>
    <t>Status</t>
  </si>
  <si>
    <t>% Complete</t>
  </si>
  <si>
    <t>Due</t>
  </si>
  <si>
    <t>Notes</t>
  </si>
  <si>
    <t>F1.1</t>
  </si>
  <si>
    <t>Function 1 — bench_connect.py</t>
  </si>
  <si>
    <t>Set up Python environment</t>
  </si>
  <si>
    <t>Install Python 3.11+, create venv (.venv) and activate it, then pip install pyvisa. Done: `python -c "import pyvisa"` runs in the venv.</t>
  </si>
  <si>
    <t>Not Started</t>
  </si>
  <si>
    <t>F1.2</t>
  </si>
  <si>
    <t>Install VISA backend</t>
  </si>
  <si>
    <t>Install NI-VISA (or TekVISA) so pyvisa can reach instruments. Done: pyvisa.ResourceManager().list_resources() runs without error.</t>
  </si>
  <si>
    <t>F1.3</t>
  </si>
  <si>
    <t>Set SCOPE_RESOURCE</t>
  </si>
  <si>
    <t>Find the scope's VISA address (USB0::0x0699::... or TCPIP0::&lt;ip&gt;::INSTR) and set the SCOPE_RESOURCE env var. Done: env var holds the correct string.</t>
  </si>
  <si>
    <t>F1.4</t>
  </si>
  <si>
    <t>Write the open/close skeleton</t>
  </si>
  <si>
    <t>In scripts/bench_connect.py open ResourceManager and open_resource inside a `with` block; add argparse (--resource/--timeout) and fall back to SCOPE_RESOURCE, listing resources if unset. Done: script runs to the query step.</t>
  </si>
  <si>
    <t>F1.5</t>
  </si>
  <si>
    <t>Add I/O settings + hygiene + queries</t>
  </si>
  <si>
    <t>Set inst.timeout and read/write terminations to '\n'; query *IDN?; send HEADer OFF / VERBose OFF / *CLS; query ALLEV?. Done: prints IDN and the error queue.</t>
  </si>
  <si>
    <t>F1.6</t>
  </si>
  <si>
    <t>Run on the bench + verify</t>
  </si>
  <si>
    <t>Run against the real scope. Done: prints a Tektronix MSO44B identity, an empty error queue, and exits 0; with SCOPE_RESOURCE unset it lists resources.</t>
  </si>
  <si>
    <t>F2.1</t>
  </si>
  <si>
    <t>Function 2 — connect() / identify()</t>
  </si>
  <si>
    <t>Define the Transport interface</t>
  </si>
  <si>
    <t>In transport/base.py define the Transport Protocol (write / query / query_binary / close) and TransportError. Done: importable and typed.</t>
  </si>
  <si>
    <t>F2.2</t>
  </si>
  <si>
    <t>Implement VisaTransport</t>
  </si>
  <si>
    <t>Wrap pyvisa (reuse F1 logic): write, query (strip), query_binary (read_raw), close; map a pyvisa timeout to TransportError. Done: *IDN? works through it.</t>
  </si>
  <si>
    <t>F2.3</t>
  </si>
  <si>
    <t>Build FakeTransport</t>
  </si>
  <si>
    <t>In-memory transport that records writes and returns a canned *IDN?. Done: usable in a test with no hardware.</t>
  </si>
  <si>
    <t>F2.4</t>
  </si>
  <si>
    <t>Write MSO44B.session_setup()</t>
  </si>
  <si>
    <t>Query *IDN?, send HEADer OFF / VERBose OFF / *CLS, set a _session_ready flag so it runs once. Done: returns the IDN and runs hygiene a single time.</t>
  </si>
  <si>
    <t>F2.5</t>
  </si>
  <si>
    <t>Offline unit test</t>
  </si>
  <si>
    <t>pytest with FakeTransport: assert session_setup returns the IDN, issues hygiene in order, and is idempotent (2nd call re-runs nothing). Done: test passes.</t>
  </si>
  <si>
    <t>F2.6</t>
  </si>
  <si>
    <t>Bench validate</t>
  </si>
  <si>
    <t>On the bench assert the IDN matches TEKTRONIX,MSO44 and the error queue is empty. Done: acceptance met with no lingering session lock.</t>
  </si>
  <si>
    <t>F3.1</t>
  </si>
  <si>
    <t>Function 3 — configure(config)</t>
  </si>
  <si>
    <t>Write the ScopeSetup model</t>
  </si>
  <si>
    <t>pydantic model: channel, vertical scale/offset, coupling, sample_rate/horizontal_scale, record_length, trigger_source/level/slope, encoding, byte_width. Done: validates a sample config.</t>
  </si>
  <si>
    <t>F3.2</t>
  </si>
  <si>
    <t>Build the configure() SCPI sequence</t>
  </si>
  <si>
    <t>Send vertical -&gt; horizontal -&gt; trigger -&gt; transfer via a send() helper, skipping None fields; return AppliedState with the command log. Done: emits the correct SCPI and calls check_errors().</t>
  </si>
  <si>
    <t>F3.3</t>
  </si>
  <si>
    <t>FakeTransport records writes; assert the exact SCPI strings and their order for a known ScopeSetup, and that None fields emit nothing. Done: test passes.</t>
  </si>
  <si>
    <t>F3.4</t>
  </si>
  <si>
    <t>Apply a setup, query a value back (e.g. HORizontal:RECOrdlength?) and assert it matches; ALLEV? empty. Done: read-back matches the config.</t>
  </si>
  <si>
    <t>F4.1</t>
  </si>
  <si>
    <t>Function 4 — acquire(timeout)</t>
  </si>
  <si>
    <t>Single-sequence acquire</t>
  </si>
  <si>
    <t>Write ACQuire:STOPAfter SEQuence then ACQuire:STATE RUN, and block on *OPC? until the capture completes. Done: returns after a capture.</t>
  </si>
  <si>
    <t>F4.2</t>
  </si>
  <si>
    <t>Timeout / no-trigger handling</t>
  </si>
  <si>
    <t>Wrap *OPC? in try/except TransportError -&gt; raise AcquireTimeout; validate the '1' reply. Done: a no-trigger raises a typed error and never hangs.</t>
  </si>
  <si>
    <t>F4.3</t>
  </si>
  <si>
    <t>Fake: *OPC?='1' + synthetic CURVe? -&gt; a Waveform; a fake that raises TransportError -&gt; AcquireTimeout. Done: both tests pass.</t>
  </si>
  <si>
    <t>F4.4</t>
  </si>
  <si>
    <t>With the AFG driving a signal, acquire returns a Waveform; with no trigger it raises AcquireTimeout within the timeout. Done: acceptance met.</t>
  </si>
  <si>
    <t>F5.1</t>
  </si>
  <si>
    <t>Function 5 — read_waveform(source)</t>
  </si>
  <si>
    <t>Read the preamble</t>
  </si>
  <si>
    <t>Query WFMOutpre fields individually (XINCR, XZERO, PT_OFF, YMULT, YOFF, YZERO, NR_PT, BYT_NR, BN_FMT, BYT_OR, units). Done: a populated Preamble object.</t>
  </si>
  <si>
    <t>F5.2</t>
  </si>
  <si>
    <t>Parse IEEE block + decode codes</t>
  </si>
  <si>
    <t>Strip the #&lt;n&gt;&lt;len&gt; header; choose the numpy dtype from sign / byte-order / width; np.frombuffer to integer codes. Done: codes decode correctly.</t>
  </si>
  <si>
    <t>F5.3</t>
  </si>
  <si>
    <t>Apply the affine transform</t>
  </si>
  <si>
    <t>v=(code-YOFF)*YMULT+YZERO; t=XZERO+(n-PT_OFF)*XINCR; store the preamble in meta. Done: a Waveform in volts/seconds.</t>
  </si>
  <si>
    <t>F5.4</t>
  </si>
  <si>
    <t>Offline round-trip test</t>
  </si>
  <si>
    <t>Synthesize codes + a known preamble; assert volts/time match the formula exactly; test the IEEE parser and dtype selection. Done: exact round-trip passes.</t>
  </si>
  <si>
    <t>F5.5</t>
  </si>
  <si>
    <t>Capture a known AFG level; assert volts within tolerance and len(v)==NR_PT; confirm the PT_OFF sign near the trigger. Done: acceptance met.</t>
  </si>
  <si>
    <t>F6.1</t>
  </si>
  <si>
    <t>Function 6 — measure(wf, kind)</t>
  </si>
  <si>
    <t>Robust levels + amplitude</t>
  </si>
  <si>
    <t>signal_levels via a histogram split about the median with a percentile fallback (never raw min/max); Vpp, mean, rms. Done: correct levels on a synthetic signal.</t>
  </si>
  <si>
    <t>F6.2</t>
  </si>
  <si>
    <t>Schmitt edge detection</t>
  </si>
  <si>
    <t>Hysteresis states + interpolated mid-level crossings -&gt; rising/falling edge times. Done: no double-counting on a noisy signal.</t>
  </si>
  <si>
    <t>F6.3</t>
  </si>
  <si>
    <t>Timing features + dispatch</t>
  </si>
  <si>
    <t>period (rising-edge diffs), frequency, duty (high-time/period), rise/fall (10-90%), edge count; a name-&gt;function dispatch. Done: every kind returns.</t>
  </si>
  <si>
    <t>F6.4</t>
  </si>
  <si>
    <t>Synthetic signals with known freq/duty/levels via pytest.approx; parametrize duty 20/40/75%; flat and noisy edge cases. Done: tests pass.</t>
  </si>
  <si>
    <t>F7.1</t>
  </si>
  <si>
    <t>Function 7 — compare(wf, expected, tol)</t>
  </si>
  <si>
    <t>Tolerance + band</t>
  </si>
  <si>
    <t>Tolerance(abs/rel/min/max); band() takes the wider of abs and rel, with explicit min/max overriding. Done: band math correct.</t>
  </si>
  <si>
    <t>F7.2</t>
  </si>
  <si>
    <t>Result + compare engine</t>
  </si>
  <si>
    <t>Result(measured/expected/lower/upper/passed/units/requirement_id) + error / error_pct; compare and compare_all. Done: verdict and fields populated.</t>
  </si>
  <si>
    <t>F7.3</t>
  </si>
  <si>
    <t>Pass and fail paths; abs-vs-rel wider-wins; min/max override; error_pct with expected=0 -&gt; nan. Done: tests pass.</t>
  </si>
  <si>
    <t>F8.1</t>
  </si>
  <si>
    <t>Function 8 — export(wf, path, fmt)</t>
  </si>
  <si>
    <t>CSV + npz export</t>
  </si>
  <si>
    <t>csv (time,volts + a commented meta header) and npz (lossless arrays + meta). Done: both files write.</t>
  </si>
  <si>
    <t>F8.2</t>
  </si>
  <si>
    <t>load_waveform reload</t>
  </si>
  <si>
    <t>Reload npz (lossless) and csv into an identical Waveform shape. Done: round-trip equal to the original.</t>
  </si>
  <si>
    <t>F8.3</t>
  </si>
  <si>
    <t>MF4 export (optional)</t>
  </si>
  <si>
    <t>Lazy-import asammdf; raise a clear error if it is missing. Done: MF4 writes, or skips cleanly when asammdf is absent.</t>
  </si>
  <si>
    <t>F8.4</t>
  </si>
  <si>
    <t>npz/csv round-trip equal; unsupported fmt -&gt; ValueError; MF4 via pytest.importorskip. Done: tests pass.</t>
  </si>
  <si>
    <t>F9.1</t>
  </si>
  <si>
    <t>Function 9 — check_errors()</t>
  </si>
  <si>
    <t>Surface instrument errors</t>
  </si>
  <si>
    <t>Read *ESR?; if the error bits (0b0011_1100) are set, read ALLEV? and raise ScopeError with the text. Done: raises on an instrument error.</t>
  </si>
  <si>
    <t>F9.2</t>
  </si>
  <si>
    <t>Fake ESR with an error bit -&gt; ScopeError with the text; a clean ESR -&gt; no raise. Done: tests pass.</t>
  </si>
  <si>
    <t>F9.3</t>
  </si>
  <si>
    <t>Send a deliberately bad command; assert check_errors raises; confirm *CLS clears the queue. Done: acceptance met.</t>
  </si>
  <si>
    <t>INT.1</t>
  </si>
  <si>
    <t>Integration — tie it together</t>
  </si>
  <si>
    <t>api.py public surface</t>
  </si>
  <si>
    <t>Expose configure/acquire/load/measure/compare/export + measure_all + run_test_case + self_test. Done: api importable; signatures stable.</t>
  </si>
  <si>
    <t>INT.2</t>
  </si>
  <si>
    <t>AFG loopback self-test (hardware)</t>
  </si>
  <si>
    <t>Drive a known AFG signal, capture it, run measure+compare. Done: commanded frequency/amplitude/duty returned within tolerance on the bench.</t>
  </si>
  <si>
    <t>INT.3</t>
  </si>
  <si>
    <t>Reporting + docs</t>
  </si>
  <si>
    <t>pytest --junitxml emits requirement-&gt;verdict evidence (optional Robot suite); update docs. Done: unattended run produces a traceable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</si>
</sst>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4"/>
      <color rgb="FF1F3B57"/>
      <name val="Calibri"/>
    </font>
    <font>
      <i/>
      <sz val="9"/>
      <color rgb="FF555555"/>
      <name val="Calibri"/>
    </font>
    <font>
      <b/>
      <sz val="9.5"/>
      <color rgb="FFFFFFFF"/>
      <name val="Calibri"/>
    </font>
    <font>
      <b/>
      <sz val="8"/>
      <name val="Calibri"/>
    </font>
    <font>
      <b/>
      <sz val="9"/>
      <name val="Calibri"/>
    </font>
    <font>
      <sz val="9"/>
      <name val="Calibri"/>
    </font>
    <font>
      <sz val="8"/>
      <name val="Calibri"/>
    </font>
    <font>
      <b/>
      <sz val="10"/>
      <color rgb="FF1F3B57"/>
      <name val="Calibri"/>
    </font>
    <font>
      <b/>
      <sz val="11"/>
      <color rgb="FF1F3B57"/>
      <name val="Calibri"/>
    </font>
    <font>
      <sz val="9"/>
      <color rgb="FF55555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F2F6F9"/>
      </patternFill>
    </fill>
  </fills>
  <borders count="3">
    <border>
      <left/>
      <right/>
      <top/>
      <bottom/>
      <diagonal/>
    </border>
    <border>
      <left style="thin">
        <color rgb="FFBFC9D1"/>
      </left>
      <right style="thin">
        <color rgb="FFBFC9D1"/>
      </right>
      <top style="thin">
        <color rgb="FFBFC9D1"/>
      </top>
      <bottom style="thin">
        <color rgb="FFBFC9D1"/>
      </bottom>
      <diagonal/>
    </border>
    <border>
      <left style="thin">
        <color rgb="FFBFC9D1"/>
      </left>
      <right style="thin">
        <color rgb="FFBFC9D1"/>
      </right>
      <top style="medium">
        <color rgb="FF1F3B57"/>
      </top>
      <bottom style="thin">
        <color rgb="FFBFC9D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8" fillId="0" borderId="0" xfId="0" applyFont="1"/>
    <xf numFmtId="9" fontId="9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wrapText="1"/>
    </xf>
    <xf numFmtId="164" fontId="6" fillId="0" borderId="2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9" fontId="6" fillId="3" borderId="2" xfId="0" applyNumberFormat="1" applyFont="1" applyFill="1" applyBorder="1" applyAlignment="1">
      <alignment horizontal="center" vertical="top" wrapText="1"/>
    </xf>
    <xf numFmtId="164" fontId="6" fillId="3" borderId="2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9" fontId="6" fillId="3" borderId="1" xfId="0" applyNumberFormat="1" applyFont="1" applyFill="1" applyBorder="1" applyAlignment="1">
      <alignment horizontal="center" vertical="top" wrapText="1"/>
    </xf>
    <xf numFmtId="164" fontId="6" fillId="3" borderId="1" xfId="0" applyNumberFormat="1" applyFont="1" applyFill="1" applyBorder="1" applyAlignment="1">
      <alignment horizontal="center" vertical="top" wrapText="1"/>
    </xf>
    <xf numFmtId="0" fontId="8" fillId="0" borderId="0" xfId="0" applyFont="1"/>
    <xf numFmtId="0" fontId="10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2">
    <dxf>
      <font>
        <b/>
        <sz val="9"/>
        <color rgb="FFD64550"/>
      </font>
    </dxf>
    <dxf>
      <font>
        <b/>
        <sz val="9"/>
        <color rgb="FF333333"/>
      </font>
      <fill>
        <patternFill patternType="solid">
          <fgColor rgb="FFE9EDF0"/>
        </patternFill>
      </fill>
    </dxf>
    <dxf>
      <font>
        <b/>
        <sz val="9"/>
        <color rgb="FF333333"/>
      </font>
      <fill>
        <patternFill patternType="solid">
          <fgColor rgb="FFB7C0C8"/>
        </patternFill>
      </fill>
    </dxf>
    <dxf>
      <font>
        <b/>
        <sz val="9"/>
        <color rgb="FFFFFFFF"/>
      </font>
      <fill>
        <patternFill patternType="solid">
          <fgColor rgb="FFE8A33D"/>
        </patternFill>
      </fill>
    </dxf>
    <dxf>
      <font>
        <b/>
        <sz val="9"/>
        <color rgb="FFFFFFFF"/>
      </font>
      <fill>
        <patternFill patternType="solid">
          <fgColor rgb="FF59A14F"/>
        </patternFill>
      </fill>
    </dxf>
    <dxf>
      <font>
        <b/>
        <sz val="9"/>
        <color rgb="FFFFFFFF"/>
      </font>
      <fill>
        <patternFill patternType="solid">
          <fgColor rgb="FFD64550"/>
        </patternFill>
      </fill>
    </dxf>
    <dxf>
      <font>
        <b/>
        <sz val="9"/>
        <color rgb="FFD64550"/>
      </font>
    </dxf>
    <dxf>
      <font>
        <b/>
        <sz val="9"/>
        <color rgb="FF333333"/>
      </font>
      <fill>
        <patternFill patternType="solid">
          <fgColor rgb="FFE9EDF0"/>
        </patternFill>
      </fill>
    </dxf>
    <dxf>
      <font>
        <b/>
        <sz val="9"/>
        <color rgb="FF333333"/>
      </font>
      <fill>
        <patternFill patternType="solid">
          <fgColor rgb="FFB7C0C8"/>
        </patternFill>
      </fill>
    </dxf>
    <dxf>
      <font>
        <b/>
        <sz val="9"/>
        <color rgb="FFFFFFFF"/>
      </font>
      <fill>
        <patternFill patternType="solid">
          <fgColor rgb="FFE8A33D"/>
        </patternFill>
      </fill>
    </dxf>
    <dxf>
      <font>
        <b/>
        <sz val="9"/>
        <color rgb="FFFFFFFF"/>
      </font>
      <fill>
        <patternFill patternType="solid">
          <fgColor rgb="FF59A14F"/>
        </patternFill>
      </fill>
    </dxf>
    <dxf>
      <font>
        <b/>
        <sz val="9"/>
        <color rgb="FFFFFFFF"/>
      </font>
      <fill>
        <patternFill patternType="solid">
          <fgColor rgb="FFD645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pane ySplit="4" topLeftCell="A5" activePane="bottomLeft" state="frozen"/>
      <selection pane="bottomLeft" activeCell="D6" sqref="D6"/>
    </sheetView>
  </sheetViews>
  <sheetFormatPr defaultRowHeight="14.25" x14ac:dyDescent="0.45"/>
  <cols>
    <col min="1" max="1" width="8" customWidth="1"/>
    <col min="2" max="2" width="24" customWidth="1"/>
    <col min="3" max="3" width="26" customWidth="1"/>
    <col min="4" max="4" width="62" customWidth="1"/>
    <col min="5" max="5" width="13" customWidth="1"/>
    <col min="6" max="6" width="9" customWidth="1"/>
    <col min="7" max="7" width="11" customWidth="1"/>
    <col min="8" max="8" width="22" customWidth="1"/>
  </cols>
  <sheetData>
    <row r="1" spans="1:8" ht="18" x14ac:dyDescent="0.55000000000000004">
      <c r="A1" s="34" t="s">
        <v>0</v>
      </c>
      <c r="B1" s="32"/>
      <c r="C1" s="32"/>
      <c r="D1" s="32"/>
      <c r="E1" s="32"/>
      <c r="F1" s="32"/>
      <c r="G1" s="32"/>
      <c r="H1" s="32"/>
    </row>
    <row r="2" spans="1:8" x14ac:dyDescent="0.45">
      <c r="A2" s="33" t="s">
        <v>1</v>
      </c>
      <c r="B2" s="32"/>
      <c r="C2" s="32"/>
      <c r="D2" s="32"/>
      <c r="E2" s="32"/>
      <c r="F2" s="32"/>
      <c r="G2" s="32"/>
      <c r="H2" s="32"/>
    </row>
    <row r="3" spans="1:8" x14ac:dyDescent="0.45">
      <c r="A3" s="30" t="s">
        <v>2</v>
      </c>
      <c r="B3" s="2">
        <f>AVERAGE(F5:F46)</f>
        <v>0</v>
      </c>
      <c r="C3" s="31" t="str">
        <f>COUNTIF(E5:E46,"Done")&amp;" of "&amp;COUNTA(E5:E46)&amp;" activities Done"</f>
        <v>0 of 12 activities Done</v>
      </c>
      <c r="D3" s="32"/>
      <c r="E3" s="32"/>
    </row>
    <row r="4" spans="1:8" ht="24" customHeight="1" x14ac:dyDescent="0.4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ht="21" x14ac:dyDescent="0.45">
      <c r="A5" s="4" t="s">
        <v>11</v>
      </c>
      <c r="B5" s="5" t="s">
        <v>12</v>
      </c>
      <c r="C5" s="6" t="s">
        <v>13</v>
      </c>
      <c r="D5" s="7" t="s">
        <v>14</v>
      </c>
      <c r="E5" s="8" t="s">
        <v>15</v>
      </c>
      <c r="F5" s="9">
        <v>0</v>
      </c>
      <c r="G5" s="10">
        <v>46209</v>
      </c>
      <c r="H5" s="7"/>
    </row>
    <row r="6" spans="1:8" ht="21" x14ac:dyDescent="0.45">
      <c r="A6" s="11" t="s">
        <v>16</v>
      </c>
      <c r="B6" s="12"/>
      <c r="C6" s="12" t="s">
        <v>17</v>
      </c>
      <c r="D6" s="13" t="s">
        <v>18</v>
      </c>
      <c r="E6" s="14" t="s">
        <v>15</v>
      </c>
      <c r="F6" s="15">
        <v>0</v>
      </c>
      <c r="G6" s="16">
        <v>46209</v>
      </c>
      <c r="H6" s="13"/>
    </row>
    <row r="7" spans="1:8" ht="21" x14ac:dyDescent="0.45">
      <c r="A7" s="11" t="s">
        <v>19</v>
      </c>
      <c r="B7" s="12"/>
      <c r="C7" s="12" t="s">
        <v>20</v>
      </c>
      <c r="D7" s="13" t="s">
        <v>21</v>
      </c>
      <c r="E7" s="14" t="s">
        <v>15</v>
      </c>
      <c r="F7" s="15">
        <v>0</v>
      </c>
      <c r="G7" s="16">
        <v>46209</v>
      </c>
      <c r="H7" s="13"/>
    </row>
    <row r="8" spans="1:8" ht="31.5" x14ac:dyDescent="0.45">
      <c r="A8" s="11" t="s">
        <v>22</v>
      </c>
      <c r="B8" s="12"/>
      <c r="C8" s="12" t="s">
        <v>23</v>
      </c>
      <c r="D8" s="13" t="s">
        <v>24</v>
      </c>
      <c r="E8" s="14" t="s">
        <v>15</v>
      </c>
      <c r="F8" s="15">
        <v>0</v>
      </c>
      <c r="G8" s="16">
        <v>46209</v>
      </c>
      <c r="H8" s="13"/>
    </row>
    <row r="9" spans="1:8" ht="21" x14ac:dyDescent="0.45">
      <c r="A9" s="11" t="s">
        <v>25</v>
      </c>
      <c r="B9" s="12"/>
      <c r="C9" s="12" t="s">
        <v>26</v>
      </c>
      <c r="D9" s="13" t="s">
        <v>27</v>
      </c>
      <c r="E9" s="14" t="s">
        <v>15</v>
      </c>
      <c r="F9" s="15">
        <v>0</v>
      </c>
      <c r="G9" s="16">
        <v>46209</v>
      </c>
      <c r="H9" s="13"/>
    </row>
    <row r="10" spans="1:8" ht="21" x14ac:dyDescent="0.45">
      <c r="A10" s="11" t="s">
        <v>28</v>
      </c>
      <c r="B10" s="12"/>
      <c r="C10" s="12" t="s">
        <v>29</v>
      </c>
      <c r="D10" s="13" t="s">
        <v>30</v>
      </c>
      <c r="E10" s="14" t="s">
        <v>15</v>
      </c>
      <c r="F10" s="15">
        <v>0</v>
      </c>
      <c r="G10" s="16">
        <v>46209</v>
      </c>
      <c r="H10" s="13"/>
    </row>
    <row r="11" spans="1:8" ht="21" x14ac:dyDescent="0.45">
      <c r="A11" s="17" t="s">
        <v>31</v>
      </c>
      <c r="B11" s="18" t="s">
        <v>32</v>
      </c>
      <c r="C11" s="19" t="s">
        <v>33</v>
      </c>
      <c r="D11" s="20" t="s">
        <v>34</v>
      </c>
      <c r="E11" s="21" t="s">
        <v>15</v>
      </c>
      <c r="F11" s="22">
        <v>0</v>
      </c>
      <c r="G11" s="23">
        <v>46211</v>
      </c>
      <c r="H11" s="20"/>
    </row>
    <row r="12" spans="1:8" ht="21" x14ac:dyDescent="0.45">
      <c r="A12" s="24" t="s">
        <v>35</v>
      </c>
      <c r="B12" s="25"/>
      <c r="C12" s="25" t="s">
        <v>36</v>
      </c>
      <c r="D12" s="26" t="s">
        <v>37</v>
      </c>
      <c r="E12" s="27" t="s">
        <v>15</v>
      </c>
      <c r="F12" s="28">
        <v>0</v>
      </c>
      <c r="G12" s="29">
        <v>46211</v>
      </c>
      <c r="H12" s="26"/>
    </row>
    <row r="13" spans="1:8" ht="21" x14ac:dyDescent="0.45">
      <c r="A13" s="24" t="s">
        <v>38</v>
      </c>
      <c r="B13" s="25"/>
      <c r="C13" s="25" t="s">
        <v>39</v>
      </c>
      <c r="D13" s="26" t="s">
        <v>40</v>
      </c>
      <c r="E13" s="27" t="s">
        <v>15</v>
      </c>
      <c r="F13" s="28">
        <v>0</v>
      </c>
      <c r="G13" s="29">
        <v>46211</v>
      </c>
      <c r="H13" s="26"/>
    </row>
    <row r="14" spans="1:8" ht="21" x14ac:dyDescent="0.45">
      <c r="A14" s="24" t="s">
        <v>41</v>
      </c>
      <c r="B14" s="25"/>
      <c r="C14" s="25" t="s">
        <v>42</v>
      </c>
      <c r="D14" s="26" t="s">
        <v>43</v>
      </c>
      <c r="E14" s="27" t="s">
        <v>15</v>
      </c>
      <c r="F14" s="28">
        <v>0</v>
      </c>
      <c r="G14" s="29">
        <v>46211</v>
      </c>
      <c r="H14" s="26"/>
    </row>
    <row r="15" spans="1:8" ht="21" x14ac:dyDescent="0.45">
      <c r="A15" s="24" t="s">
        <v>44</v>
      </c>
      <c r="B15" s="25"/>
      <c r="C15" s="25" t="s">
        <v>45</v>
      </c>
      <c r="D15" s="26" t="s">
        <v>46</v>
      </c>
      <c r="E15" s="27" t="s">
        <v>15</v>
      </c>
      <c r="F15" s="28">
        <v>0</v>
      </c>
      <c r="G15" s="29">
        <v>46211</v>
      </c>
      <c r="H15" s="26"/>
    </row>
    <row r="16" spans="1:8" ht="21.4" thickBot="1" x14ac:dyDescent="0.5">
      <c r="A16" s="24" t="s">
        <v>47</v>
      </c>
      <c r="B16" s="25"/>
      <c r="C16" s="25" t="s">
        <v>48</v>
      </c>
      <c r="D16" s="26" t="s">
        <v>49</v>
      </c>
      <c r="E16" s="27" t="s">
        <v>15</v>
      </c>
      <c r="F16" s="28">
        <v>0</v>
      </c>
      <c r="G16" s="29">
        <v>46211</v>
      </c>
      <c r="H16" s="26"/>
    </row>
    <row r="17" spans="1:8" x14ac:dyDescent="0.45">
      <c r="A17" s="4"/>
      <c r="B17" s="5"/>
      <c r="C17" s="6"/>
      <c r="D17" s="7"/>
      <c r="E17" s="8"/>
      <c r="F17" s="9"/>
      <c r="G17" s="10"/>
      <c r="H17" s="7"/>
    </row>
    <row r="18" spans="1:8" x14ac:dyDescent="0.45">
      <c r="A18" s="11"/>
      <c r="B18" s="12"/>
      <c r="C18" s="12"/>
      <c r="D18" s="13"/>
      <c r="E18" s="14"/>
      <c r="F18" s="15"/>
      <c r="G18" s="16"/>
      <c r="H18" s="13"/>
    </row>
    <row r="19" spans="1:8" x14ac:dyDescent="0.45">
      <c r="A19" s="11"/>
      <c r="B19" s="12"/>
      <c r="C19" s="12"/>
      <c r="D19" s="13"/>
      <c r="E19" s="14"/>
      <c r="F19" s="15"/>
      <c r="G19" s="16"/>
      <c r="H19" s="13"/>
    </row>
    <row r="20" spans="1:8" ht="14.65" thickBot="1" x14ac:dyDescent="0.5">
      <c r="A20" s="11"/>
      <c r="B20" s="12"/>
      <c r="C20" s="12"/>
      <c r="D20" s="13"/>
      <c r="E20" s="14"/>
      <c r="F20" s="15"/>
      <c r="G20" s="16"/>
      <c r="H20" s="13"/>
    </row>
    <row r="21" spans="1:8" x14ac:dyDescent="0.45">
      <c r="A21" s="17"/>
      <c r="B21" s="18"/>
      <c r="C21" s="19"/>
      <c r="D21" s="20"/>
      <c r="E21" s="21"/>
      <c r="F21" s="22"/>
      <c r="G21" s="23"/>
      <c r="H21" s="20"/>
    </row>
    <row r="22" spans="1:8" x14ac:dyDescent="0.45">
      <c r="A22" s="24"/>
      <c r="B22" s="25"/>
      <c r="C22" s="25"/>
      <c r="D22" s="26"/>
      <c r="E22" s="27"/>
      <c r="F22" s="28"/>
      <c r="G22" s="29"/>
      <c r="H22" s="26"/>
    </row>
    <row r="23" spans="1:8" x14ac:dyDescent="0.45">
      <c r="A23" s="24"/>
      <c r="B23" s="25"/>
      <c r="C23" s="25"/>
      <c r="D23" s="26"/>
      <c r="E23" s="27"/>
      <c r="F23" s="28"/>
      <c r="G23" s="29"/>
      <c r="H23" s="26"/>
    </row>
    <row r="24" spans="1:8" ht="14.65" thickBot="1" x14ac:dyDescent="0.5">
      <c r="A24" s="24"/>
      <c r="B24" s="25"/>
      <c r="C24" s="25"/>
      <c r="D24" s="26"/>
      <c r="E24" s="27"/>
      <c r="F24" s="28"/>
      <c r="G24" s="29"/>
      <c r="H24" s="26"/>
    </row>
    <row r="25" spans="1:8" x14ac:dyDescent="0.45">
      <c r="A25" s="4"/>
      <c r="B25" s="5"/>
      <c r="C25" s="6"/>
      <c r="D25" s="7"/>
      <c r="E25" s="8"/>
      <c r="F25" s="9"/>
      <c r="G25" s="10"/>
      <c r="H25" s="7"/>
    </row>
    <row r="26" spans="1:8" x14ac:dyDescent="0.45">
      <c r="A26" s="11"/>
      <c r="B26" s="12"/>
      <c r="C26" s="12"/>
      <c r="D26" s="13"/>
      <c r="E26" s="14"/>
      <c r="F26" s="15"/>
      <c r="G26" s="16"/>
      <c r="H26" s="13"/>
    </row>
    <row r="27" spans="1:8" x14ac:dyDescent="0.45">
      <c r="A27" s="11"/>
      <c r="B27" s="12"/>
      <c r="C27" s="12"/>
      <c r="D27" s="13"/>
      <c r="E27" s="14"/>
      <c r="F27" s="15"/>
      <c r="G27" s="16"/>
      <c r="H27" s="13"/>
    </row>
    <row r="28" spans="1:8" x14ac:dyDescent="0.45">
      <c r="A28" s="11"/>
      <c r="B28" s="12"/>
      <c r="C28" s="12"/>
      <c r="D28" s="13"/>
      <c r="E28" s="14"/>
      <c r="F28" s="15"/>
      <c r="G28" s="16"/>
      <c r="H28" s="13"/>
    </row>
    <row r="29" spans="1:8" ht="14.65" thickBot="1" x14ac:dyDescent="0.5">
      <c r="A29" s="11"/>
      <c r="B29" s="12"/>
      <c r="C29" s="12"/>
      <c r="D29" s="13"/>
      <c r="E29" s="14"/>
      <c r="F29" s="15"/>
      <c r="G29" s="16"/>
      <c r="H29" s="13"/>
    </row>
    <row r="30" spans="1:8" x14ac:dyDescent="0.45">
      <c r="A30" s="17"/>
      <c r="B30" s="18"/>
      <c r="C30" s="19"/>
      <c r="D30" s="20"/>
      <c r="E30" s="21"/>
      <c r="F30" s="22"/>
      <c r="G30" s="23"/>
      <c r="H30" s="20"/>
    </row>
    <row r="31" spans="1:8" x14ac:dyDescent="0.45">
      <c r="A31" s="24"/>
      <c r="B31" s="25"/>
      <c r="C31" s="25"/>
      <c r="D31" s="26"/>
      <c r="E31" s="27"/>
      <c r="F31" s="28"/>
      <c r="G31" s="29"/>
      <c r="H31" s="26"/>
    </row>
    <row r="32" spans="1:8" x14ac:dyDescent="0.45">
      <c r="A32" s="24"/>
      <c r="B32" s="25"/>
      <c r="C32" s="25"/>
      <c r="D32" s="26"/>
      <c r="E32" s="27"/>
      <c r="F32" s="28"/>
      <c r="G32" s="29"/>
      <c r="H32" s="26"/>
    </row>
    <row r="33" spans="1:8" ht="14.65" thickBot="1" x14ac:dyDescent="0.5">
      <c r="A33" s="24"/>
      <c r="B33" s="25"/>
      <c r="C33" s="25"/>
      <c r="D33" s="26"/>
      <c r="E33" s="27"/>
      <c r="F33" s="28"/>
      <c r="G33" s="29"/>
      <c r="H33" s="26"/>
    </row>
    <row r="34" spans="1:8" x14ac:dyDescent="0.45">
      <c r="A34" s="4"/>
      <c r="B34" s="5"/>
      <c r="C34" s="6"/>
      <c r="D34" s="7"/>
      <c r="E34" s="8"/>
      <c r="F34" s="9"/>
      <c r="G34" s="10"/>
      <c r="H34" s="7"/>
    </row>
    <row r="35" spans="1:8" x14ac:dyDescent="0.45">
      <c r="A35" s="11"/>
      <c r="B35" s="12"/>
      <c r="C35" s="12"/>
      <c r="D35" s="13"/>
      <c r="E35" s="14"/>
      <c r="F35" s="15"/>
      <c r="G35" s="16"/>
      <c r="H35" s="13"/>
    </row>
    <row r="36" spans="1:8" ht="14.65" thickBot="1" x14ac:dyDescent="0.5">
      <c r="A36" s="11"/>
      <c r="B36" s="12"/>
      <c r="C36" s="12"/>
      <c r="D36" s="13"/>
      <c r="E36" s="14"/>
      <c r="F36" s="15"/>
      <c r="G36" s="16"/>
      <c r="H36" s="13"/>
    </row>
    <row r="37" spans="1:8" x14ac:dyDescent="0.45">
      <c r="A37" s="17"/>
      <c r="B37" s="18"/>
      <c r="C37" s="19"/>
      <c r="D37" s="20"/>
      <c r="E37" s="21"/>
      <c r="F37" s="22"/>
      <c r="G37" s="23"/>
      <c r="H37" s="20"/>
    </row>
    <row r="38" spans="1:8" x14ac:dyDescent="0.45">
      <c r="A38" s="24"/>
      <c r="B38" s="25"/>
      <c r="C38" s="25"/>
      <c r="D38" s="26"/>
      <c r="E38" s="27"/>
      <c r="F38" s="28"/>
      <c r="G38" s="29"/>
      <c r="H38" s="26"/>
    </row>
    <row r="39" spans="1:8" x14ac:dyDescent="0.45">
      <c r="A39" s="24"/>
      <c r="B39" s="25"/>
      <c r="C39" s="25"/>
      <c r="D39" s="26"/>
      <c r="E39" s="27"/>
      <c r="F39" s="28"/>
      <c r="G39" s="29"/>
      <c r="H39" s="26"/>
    </row>
    <row r="40" spans="1:8" ht="14.65" thickBot="1" x14ac:dyDescent="0.5">
      <c r="A40" s="24"/>
      <c r="B40" s="25"/>
      <c r="C40" s="25"/>
      <c r="D40" s="26"/>
      <c r="E40" s="27"/>
      <c r="F40" s="28"/>
      <c r="G40" s="29"/>
      <c r="H40" s="26"/>
    </row>
    <row r="41" spans="1:8" x14ac:dyDescent="0.45">
      <c r="A41" s="4"/>
      <c r="B41" s="5"/>
      <c r="C41" s="6"/>
      <c r="D41" s="7"/>
      <c r="E41" s="8"/>
      <c r="F41" s="9"/>
      <c r="G41" s="10"/>
      <c r="H41" s="7"/>
    </row>
    <row r="42" spans="1:8" x14ac:dyDescent="0.45">
      <c r="A42" s="11"/>
      <c r="B42" s="12"/>
      <c r="C42" s="12"/>
      <c r="D42" s="13"/>
      <c r="E42" s="14"/>
      <c r="F42" s="15"/>
      <c r="G42" s="16"/>
      <c r="H42" s="13"/>
    </row>
    <row r="43" spans="1:8" ht="14.65" thickBot="1" x14ac:dyDescent="0.5">
      <c r="A43" s="11"/>
      <c r="B43" s="12"/>
      <c r="C43" s="12"/>
      <c r="D43" s="13"/>
      <c r="E43" s="14"/>
      <c r="F43" s="15"/>
      <c r="G43" s="16"/>
      <c r="H43" s="13"/>
    </row>
    <row r="44" spans="1:8" x14ac:dyDescent="0.45">
      <c r="A44" s="17"/>
      <c r="B44" s="18"/>
      <c r="C44" s="19"/>
      <c r="D44" s="20"/>
      <c r="E44" s="21"/>
      <c r="F44" s="22"/>
      <c r="G44" s="23"/>
      <c r="H44" s="20"/>
    </row>
    <row r="45" spans="1:8" x14ac:dyDescent="0.45">
      <c r="A45" s="24"/>
      <c r="B45" s="25"/>
      <c r="C45" s="25"/>
      <c r="D45" s="26"/>
      <c r="E45" s="27"/>
      <c r="F45" s="28"/>
      <c r="G45" s="29"/>
      <c r="H45" s="26"/>
    </row>
    <row r="46" spans="1:8" x14ac:dyDescent="0.45">
      <c r="A46" s="24"/>
      <c r="B46" s="25"/>
      <c r="C46" s="25"/>
      <c r="D46" s="26"/>
      <c r="E46" s="27"/>
      <c r="F46" s="28"/>
      <c r="G46" s="29"/>
      <c r="H46" s="26"/>
    </row>
    <row r="49" ht="27.75" customHeight="1" x14ac:dyDescent="0.45"/>
  </sheetData>
  <mergeCells count="4">
    <mergeCell ref="A3"/>
    <mergeCell ref="C3:E3"/>
    <mergeCell ref="A2:H2"/>
    <mergeCell ref="A1:H1"/>
  </mergeCells>
  <conditionalFormatting sqref="E5:E46">
    <cfRule type="expression" dxfId="11" priority="1" stopIfTrue="1">
      <formula>$E5="Blocked"</formula>
    </cfRule>
    <cfRule type="expression" dxfId="10" priority="2" stopIfTrue="1">
      <formula>$E5="Done"</formula>
    </cfRule>
    <cfRule type="expression" dxfId="9" priority="3" stopIfTrue="1">
      <formula>$E5="In Progress"</formula>
    </cfRule>
    <cfRule type="expression" dxfId="8" priority="4" stopIfTrue="1">
      <formula>$E5="N/A"</formula>
    </cfRule>
    <cfRule type="expression" dxfId="7" priority="5" stopIfTrue="1">
      <formula>$E5="Not Started"</formula>
    </cfRule>
  </conditionalFormatting>
  <conditionalFormatting sqref="F5:F46">
    <cfRule type="dataBar" priority="6">
      <dataBar>
        <cfvo type="num" val="0"/>
        <cfvo type="num" val="1"/>
        <color rgb="FF4E79A7"/>
      </dataBar>
    </cfRule>
  </conditionalFormatting>
  <conditionalFormatting sqref="G5:G46">
    <cfRule type="expression" dxfId="6" priority="7" stopIfTrue="1">
      <formula>AND($G5&lt;TODAY(),$E5&lt;&gt;"Done",$E5&lt;&gt;"N/A")</formula>
    </cfRule>
  </conditionalFormatting>
  <dataValidations count="1">
    <dataValidation type="list" allowBlank="1" sqref="E5:E46" xr:uid="{00000000-0002-0000-0000-000000000000}">
      <formula1>"Not Started,In Progress,Blocked,Done,N/A"</formula1>
    </dataValidation>
  </dataValidations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AB1B-F303-407E-9276-F51FC535F7AB}">
  <dimension ref="A1:H49"/>
  <sheetViews>
    <sheetView workbookViewId="0">
      <pane ySplit="4" topLeftCell="A25" activePane="bottomLeft" state="frozen"/>
      <selection pane="bottomLeft" activeCell="D46" sqref="D46"/>
    </sheetView>
  </sheetViews>
  <sheetFormatPr defaultRowHeight="14.25" x14ac:dyDescent="0.45"/>
  <cols>
    <col min="1" max="1" width="8" customWidth="1"/>
    <col min="2" max="2" width="24" customWidth="1"/>
    <col min="3" max="3" width="26" customWidth="1"/>
    <col min="4" max="4" width="62" customWidth="1"/>
    <col min="5" max="5" width="13" customWidth="1"/>
    <col min="6" max="6" width="9" customWidth="1"/>
    <col min="7" max="7" width="11" customWidth="1"/>
    <col min="8" max="8" width="22" customWidth="1"/>
  </cols>
  <sheetData>
    <row r="1" spans="1:8" ht="18" x14ac:dyDescent="0.55000000000000004">
      <c r="A1" s="34" t="s">
        <v>0</v>
      </c>
      <c r="B1" s="32"/>
      <c r="C1" s="32"/>
      <c r="D1" s="32"/>
      <c r="E1" s="32"/>
      <c r="F1" s="32"/>
      <c r="G1" s="32"/>
      <c r="H1" s="32"/>
    </row>
    <row r="2" spans="1:8" x14ac:dyDescent="0.45">
      <c r="A2" s="33" t="s">
        <v>1</v>
      </c>
      <c r="B2" s="32"/>
      <c r="C2" s="32"/>
      <c r="D2" s="32"/>
      <c r="E2" s="32"/>
      <c r="F2" s="32"/>
      <c r="G2" s="32"/>
      <c r="H2" s="32"/>
    </row>
    <row r="3" spans="1:8" x14ac:dyDescent="0.45">
      <c r="A3" s="1" t="s">
        <v>2</v>
      </c>
      <c r="B3" s="2">
        <f>AVERAGE(F5:F46)</f>
        <v>0</v>
      </c>
      <c r="C3" s="31" t="str">
        <f>COUNTIF(E5:E46,"Done")&amp;" of "&amp;COUNTA(E5:E46)&amp;" activities Done"</f>
        <v>0 of 42 activities Done</v>
      </c>
      <c r="D3" s="32"/>
      <c r="E3" s="32"/>
    </row>
    <row r="4" spans="1:8" ht="24" customHeight="1" thickBot="1" x14ac:dyDescent="0.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ht="21" x14ac:dyDescent="0.45">
      <c r="A5" s="4" t="s">
        <v>11</v>
      </c>
      <c r="B5" s="5" t="s">
        <v>12</v>
      </c>
      <c r="C5" s="6" t="s">
        <v>13</v>
      </c>
      <c r="D5" s="7" t="s">
        <v>14</v>
      </c>
      <c r="E5" s="8" t="s">
        <v>15</v>
      </c>
      <c r="F5" s="9">
        <v>0</v>
      </c>
      <c r="G5" s="10">
        <v>46209</v>
      </c>
      <c r="H5" s="7"/>
    </row>
    <row r="6" spans="1:8" ht="21" x14ac:dyDescent="0.45">
      <c r="A6" s="11" t="s">
        <v>16</v>
      </c>
      <c r="B6" s="12"/>
      <c r="C6" s="12" t="s">
        <v>17</v>
      </c>
      <c r="D6" s="13" t="s">
        <v>18</v>
      </c>
      <c r="E6" s="14" t="s">
        <v>15</v>
      </c>
      <c r="F6" s="15">
        <v>0</v>
      </c>
      <c r="G6" s="16">
        <v>46209</v>
      </c>
      <c r="H6" s="13"/>
    </row>
    <row r="7" spans="1:8" ht="21" x14ac:dyDescent="0.45">
      <c r="A7" s="11" t="s">
        <v>19</v>
      </c>
      <c r="B7" s="12"/>
      <c r="C7" s="12" t="s">
        <v>20</v>
      </c>
      <c r="D7" s="13" t="s">
        <v>21</v>
      </c>
      <c r="E7" s="14" t="s">
        <v>15</v>
      </c>
      <c r="F7" s="15">
        <v>0</v>
      </c>
      <c r="G7" s="16">
        <v>46209</v>
      </c>
      <c r="H7" s="13"/>
    </row>
    <row r="8" spans="1:8" ht="31.5" x14ac:dyDescent="0.45">
      <c r="A8" s="11" t="s">
        <v>22</v>
      </c>
      <c r="B8" s="12"/>
      <c r="C8" s="12" t="s">
        <v>23</v>
      </c>
      <c r="D8" s="13" t="s">
        <v>24</v>
      </c>
      <c r="E8" s="14" t="s">
        <v>15</v>
      </c>
      <c r="F8" s="15">
        <v>0</v>
      </c>
      <c r="G8" s="16">
        <v>46209</v>
      </c>
      <c r="H8" s="13"/>
    </row>
    <row r="9" spans="1:8" ht="21" x14ac:dyDescent="0.45">
      <c r="A9" s="11" t="s">
        <v>25</v>
      </c>
      <c r="B9" s="12"/>
      <c r="C9" s="12" t="s">
        <v>26</v>
      </c>
      <c r="D9" s="13" t="s">
        <v>27</v>
      </c>
      <c r="E9" s="14" t="s">
        <v>15</v>
      </c>
      <c r="F9" s="15">
        <v>0</v>
      </c>
      <c r="G9" s="16">
        <v>46209</v>
      </c>
      <c r="H9" s="13"/>
    </row>
    <row r="10" spans="1:8" ht="21.4" thickBot="1" x14ac:dyDescent="0.5">
      <c r="A10" s="11" t="s">
        <v>28</v>
      </c>
      <c r="B10" s="12"/>
      <c r="C10" s="12" t="s">
        <v>29</v>
      </c>
      <c r="D10" s="13" t="s">
        <v>30</v>
      </c>
      <c r="E10" s="14" t="s">
        <v>15</v>
      </c>
      <c r="F10" s="15">
        <v>0</v>
      </c>
      <c r="G10" s="16">
        <v>46209</v>
      </c>
      <c r="H10" s="13"/>
    </row>
    <row r="11" spans="1:8" ht="21" x14ac:dyDescent="0.45">
      <c r="A11" s="17" t="s">
        <v>31</v>
      </c>
      <c r="B11" s="18" t="s">
        <v>32</v>
      </c>
      <c r="C11" s="19" t="s">
        <v>33</v>
      </c>
      <c r="D11" s="20" t="s">
        <v>34</v>
      </c>
      <c r="E11" s="21" t="s">
        <v>15</v>
      </c>
      <c r="F11" s="22">
        <v>0</v>
      </c>
      <c r="G11" s="23">
        <v>46211</v>
      </c>
      <c r="H11" s="20"/>
    </row>
    <row r="12" spans="1:8" ht="21" x14ac:dyDescent="0.45">
      <c r="A12" s="24" t="s">
        <v>35</v>
      </c>
      <c r="B12" s="25"/>
      <c r="C12" s="25" t="s">
        <v>36</v>
      </c>
      <c r="D12" s="26" t="s">
        <v>37</v>
      </c>
      <c r="E12" s="27" t="s">
        <v>15</v>
      </c>
      <c r="F12" s="28">
        <v>0</v>
      </c>
      <c r="G12" s="29">
        <v>46211</v>
      </c>
      <c r="H12" s="26"/>
    </row>
    <row r="13" spans="1:8" ht="21" x14ac:dyDescent="0.45">
      <c r="A13" s="24" t="s">
        <v>38</v>
      </c>
      <c r="B13" s="25"/>
      <c r="C13" s="25" t="s">
        <v>39</v>
      </c>
      <c r="D13" s="26" t="s">
        <v>40</v>
      </c>
      <c r="E13" s="27" t="s">
        <v>15</v>
      </c>
      <c r="F13" s="28">
        <v>0</v>
      </c>
      <c r="G13" s="29">
        <v>46211</v>
      </c>
      <c r="H13" s="26"/>
    </row>
    <row r="14" spans="1:8" ht="21" x14ac:dyDescent="0.45">
      <c r="A14" s="24" t="s">
        <v>41</v>
      </c>
      <c r="B14" s="25"/>
      <c r="C14" s="25" t="s">
        <v>42</v>
      </c>
      <c r="D14" s="26" t="s">
        <v>43</v>
      </c>
      <c r="E14" s="27" t="s">
        <v>15</v>
      </c>
      <c r="F14" s="28">
        <v>0</v>
      </c>
      <c r="G14" s="29">
        <v>46211</v>
      </c>
      <c r="H14" s="26"/>
    </row>
    <row r="15" spans="1:8" ht="21" x14ac:dyDescent="0.45">
      <c r="A15" s="24" t="s">
        <v>44</v>
      </c>
      <c r="B15" s="25"/>
      <c r="C15" s="25" t="s">
        <v>45</v>
      </c>
      <c r="D15" s="26" t="s">
        <v>46</v>
      </c>
      <c r="E15" s="27" t="s">
        <v>15</v>
      </c>
      <c r="F15" s="28">
        <v>0</v>
      </c>
      <c r="G15" s="29">
        <v>46211</v>
      </c>
      <c r="H15" s="26"/>
    </row>
    <row r="16" spans="1:8" ht="21.4" thickBot="1" x14ac:dyDescent="0.5">
      <c r="A16" s="24" t="s">
        <v>47</v>
      </c>
      <c r="B16" s="25"/>
      <c r="C16" s="25" t="s">
        <v>48</v>
      </c>
      <c r="D16" s="26" t="s">
        <v>49</v>
      </c>
      <c r="E16" s="27" t="s">
        <v>15</v>
      </c>
      <c r="F16" s="28">
        <v>0</v>
      </c>
      <c r="G16" s="29">
        <v>46211</v>
      </c>
      <c r="H16" s="26"/>
    </row>
    <row r="17" spans="1:8" ht="21" x14ac:dyDescent="0.45">
      <c r="A17" s="4" t="s">
        <v>50</v>
      </c>
      <c r="B17" s="5" t="s">
        <v>51</v>
      </c>
      <c r="C17" s="6" t="s">
        <v>52</v>
      </c>
      <c r="D17" s="7" t="s">
        <v>53</v>
      </c>
      <c r="E17" s="8" t="s">
        <v>15</v>
      </c>
      <c r="F17" s="9">
        <v>0</v>
      </c>
      <c r="G17" s="10">
        <v>46213</v>
      </c>
      <c r="H17" s="7"/>
    </row>
    <row r="18" spans="1:8" ht="21" x14ac:dyDescent="0.45">
      <c r="A18" s="11" t="s">
        <v>54</v>
      </c>
      <c r="B18" s="12"/>
      <c r="C18" s="12" t="s">
        <v>55</v>
      </c>
      <c r="D18" s="13" t="s">
        <v>56</v>
      </c>
      <c r="E18" s="14" t="s">
        <v>15</v>
      </c>
      <c r="F18" s="15">
        <v>0</v>
      </c>
      <c r="G18" s="16">
        <v>46213</v>
      </c>
      <c r="H18" s="13"/>
    </row>
    <row r="19" spans="1:8" ht="21" x14ac:dyDescent="0.45">
      <c r="A19" s="11" t="s">
        <v>57</v>
      </c>
      <c r="B19" s="12"/>
      <c r="C19" s="12" t="s">
        <v>45</v>
      </c>
      <c r="D19" s="13" t="s">
        <v>58</v>
      </c>
      <c r="E19" s="14" t="s">
        <v>15</v>
      </c>
      <c r="F19" s="15">
        <v>0</v>
      </c>
      <c r="G19" s="16">
        <v>46213</v>
      </c>
      <c r="H19" s="13"/>
    </row>
    <row r="20" spans="1:8" ht="21.4" thickBot="1" x14ac:dyDescent="0.5">
      <c r="A20" s="11" t="s">
        <v>59</v>
      </c>
      <c r="B20" s="12"/>
      <c r="C20" s="12" t="s">
        <v>48</v>
      </c>
      <c r="D20" s="13" t="s">
        <v>60</v>
      </c>
      <c r="E20" s="14" t="s">
        <v>15</v>
      </c>
      <c r="F20" s="15">
        <v>0</v>
      </c>
      <c r="G20" s="16">
        <v>46213</v>
      </c>
      <c r="H20" s="13"/>
    </row>
    <row r="21" spans="1:8" ht="21" x14ac:dyDescent="0.45">
      <c r="A21" s="17" t="s">
        <v>61</v>
      </c>
      <c r="B21" s="18" t="s">
        <v>62</v>
      </c>
      <c r="C21" s="19" t="s">
        <v>63</v>
      </c>
      <c r="D21" s="20" t="s">
        <v>64</v>
      </c>
      <c r="E21" s="21" t="s">
        <v>15</v>
      </c>
      <c r="F21" s="22">
        <v>0</v>
      </c>
      <c r="G21" s="23">
        <v>46216</v>
      </c>
      <c r="H21" s="20"/>
    </row>
    <row r="22" spans="1:8" ht="21" x14ac:dyDescent="0.45">
      <c r="A22" s="24" t="s">
        <v>65</v>
      </c>
      <c r="B22" s="25"/>
      <c r="C22" s="25" t="s">
        <v>66</v>
      </c>
      <c r="D22" s="26" t="s">
        <v>67</v>
      </c>
      <c r="E22" s="27" t="s">
        <v>15</v>
      </c>
      <c r="F22" s="28">
        <v>0</v>
      </c>
      <c r="G22" s="29">
        <v>46216</v>
      </c>
      <c r="H22" s="26"/>
    </row>
    <row r="23" spans="1:8" ht="21" x14ac:dyDescent="0.45">
      <c r="A23" s="24" t="s">
        <v>68</v>
      </c>
      <c r="B23" s="25"/>
      <c r="C23" s="25" t="s">
        <v>45</v>
      </c>
      <c r="D23" s="26" t="s">
        <v>69</v>
      </c>
      <c r="E23" s="27" t="s">
        <v>15</v>
      </c>
      <c r="F23" s="28">
        <v>0</v>
      </c>
      <c r="G23" s="29">
        <v>46216</v>
      </c>
      <c r="H23" s="26"/>
    </row>
    <row r="24" spans="1:8" ht="21.4" thickBot="1" x14ac:dyDescent="0.5">
      <c r="A24" s="24" t="s">
        <v>70</v>
      </c>
      <c r="B24" s="25"/>
      <c r="C24" s="25" t="s">
        <v>48</v>
      </c>
      <c r="D24" s="26" t="s">
        <v>71</v>
      </c>
      <c r="E24" s="27" t="s">
        <v>15</v>
      </c>
      <c r="F24" s="28">
        <v>0</v>
      </c>
      <c r="G24" s="29">
        <v>46216</v>
      </c>
      <c r="H24" s="26"/>
    </row>
    <row r="25" spans="1:8" ht="23.25" x14ac:dyDescent="0.45">
      <c r="A25" s="4" t="s">
        <v>72</v>
      </c>
      <c r="B25" s="5" t="s">
        <v>73</v>
      </c>
      <c r="C25" s="6" t="s">
        <v>74</v>
      </c>
      <c r="D25" s="7" t="s">
        <v>75</v>
      </c>
      <c r="E25" s="8" t="s">
        <v>15</v>
      </c>
      <c r="F25" s="9">
        <v>0</v>
      </c>
      <c r="G25" s="10">
        <v>46220</v>
      </c>
      <c r="H25" s="7"/>
    </row>
    <row r="26" spans="1:8" ht="21" x14ac:dyDescent="0.45">
      <c r="A26" s="11" t="s">
        <v>76</v>
      </c>
      <c r="B26" s="12"/>
      <c r="C26" s="12" t="s">
        <v>77</v>
      </c>
      <c r="D26" s="13" t="s">
        <v>78</v>
      </c>
      <c r="E26" s="14" t="s">
        <v>15</v>
      </c>
      <c r="F26" s="15">
        <v>0</v>
      </c>
      <c r="G26" s="16">
        <v>46220</v>
      </c>
      <c r="H26" s="13"/>
    </row>
    <row r="27" spans="1:8" ht="21" x14ac:dyDescent="0.45">
      <c r="A27" s="11" t="s">
        <v>79</v>
      </c>
      <c r="B27" s="12"/>
      <c r="C27" s="12" t="s">
        <v>80</v>
      </c>
      <c r="D27" s="13" t="s">
        <v>81</v>
      </c>
      <c r="E27" s="14" t="s">
        <v>15</v>
      </c>
      <c r="F27" s="15">
        <v>0</v>
      </c>
      <c r="G27" s="16">
        <v>46220</v>
      </c>
      <c r="H27" s="13"/>
    </row>
    <row r="28" spans="1:8" ht="21" x14ac:dyDescent="0.45">
      <c r="A28" s="11" t="s">
        <v>82</v>
      </c>
      <c r="B28" s="12"/>
      <c r="C28" s="12" t="s">
        <v>83</v>
      </c>
      <c r="D28" s="13" t="s">
        <v>84</v>
      </c>
      <c r="E28" s="14" t="s">
        <v>15</v>
      </c>
      <c r="F28" s="15">
        <v>0</v>
      </c>
      <c r="G28" s="16">
        <v>46220</v>
      </c>
      <c r="H28" s="13"/>
    </row>
    <row r="29" spans="1:8" ht="21.4" thickBot="1" x14ac:dyDescent="0.5">
      <c r="A29" s="11" t="s">
        <v>85</v>
      </c>
      <c r="B29" s="12"/>
      <c r="C29" s="12" t="s">
        <v>48</v>
      </c>
      <c r="D29" s="13" t="s">
        <v>86</v>
      </c>
      <c r="E29" s="14" t="s">
        <v>15</v>
      </c>
      <c r="F29" s="15">
        <v>0</v>
      </c>
      <c r="G29" s="16">
        <v>46220</v>
      </c>
      <c r="H29" s="13"/>
    </row>
    <row r="30" spans="1:8" ht="21" x14ac:dyDescent="0.45">
      <c r="A30" s="17" t="s">
        <v>87</v>
      </c>
      <c r="B30" s="18" t="s">
        <v>88</v>
      </c>
      <c r="C30" s="19" t="s">
        <v>89</v>
      </c>
      <c r="D30" s="20" t="s">
        <v>90</v>
      </c>
      <c r="E30" s="21" t="s">
        <v>15</v>
      </c>
      <c r="F30" s="22">
        <v>0</v>
      </c>
      <c r="G30" s="23">
        <v>46225</v>
      </c>
      <c r="H30" s="20"/>
    </row>
    <row r="31" spans="1:8" ht="21" x14ac:dyDescent="0.45">
      <c r="A31" s="24" t="s">
        <v>91</v>
      </c>
      <c r="B31" s="25"/>
      <c r="C31" s="25" t="s">
        <v>92</v>
      </c>
      <c r="D31" s="26" t="s">
        <v>93</v>
      </c>
      <c r="E31" s="27" t="s">
        <v>15</v>
      </c>
      <c r="F31" s="28">
        <v>0</v>
      </c>
      <c r="G31" s="29">
        <v>46225</v>
      </c>
      <c r="H31" s="26"/>
    </row>
    <row r="32" spans="1:8" ht="21" x14ac:dyDescent="0.45">
      <c r="A32" s="24" t="s">
        <v>94</v>
      </c>
      <c r="B32" s="25"/>
      <c r="C32" s="25" t="s">
        <v>95</v>
      </c>
      <c r="D32" s="26" t="s">
        <v>96</v>
      </c>
      <c r="E32" s="27" t="s">
        <v>15</v>
      </c>
      <c r="F32" s="28">
        <v>0</v>
      </c>
      <c r="G32" s="29">
        <v>46225</v>
      </c>
      <c r="H32" s="26"/>
    </row>
    <row r="33" spans="1:8" ht="21.4" thickBot="1" x14ac:dyDescent="0.5">
      <c r="A33" s="24" t="s">
        <v>97</v>
      </c>
      <c r="B33" s="25"/>
      <c r="C33" s="25" t="s">
        <v>45</v>
      </c>
      <c r="D33" s="26" t="s">
        <v>98</v>
      </c>
      <c r="E33" s="27" t="s">
        <v>15</v>
      </c>
      <c r="F33" s="28">
        <v>0</v>
      </c>
      <c r="G33" s="29">
        <v>46225</v>
      </c>
      <c r="H33" s="26"/>
    </row>
    <row r="34" spans="1:8" ht="23.25" x14ac:dyDescent="0.45">
      <c r="A34" s="4" t="s">
        <v>99</v>
      </c>
      <c r="B34" s="5" t="s">
        <v>100</v>
      </c>
      <c r="C34" s="6" t="s">
        <v>101</v>
      </c>
      <c r="D34" s="7" t="s">
        <v>102</v>
      </c>
      <c r="E34" s="8" t="s">
        <v>15</v>
      </c>
      <c r="F34" s="9">
        <v>0</v>
      </c>
      <c r="G34" s="10">
        <v>46228</v>
      </c>
      <c r="H34" s="7"/>
    </row>
    <row r="35" spans="1:8" ht="21" x14ac:dyDescent="0.45">
      <c r="A35" s="11" t="s">
        <v>103</v>
      </c>
      <c r="B35" s="12"/>
      <c r="C35" s="12" t="s">
        <v>104</v>
      </c>
      <c r="D35" s="13" t="s">
        <v>105</v>
      </c>
      <c r="E35" s="14" t="s">
        <v>15</v>
      </c>
      <c r="F35" s="15">
        <v>0</v>
      </c>
      <c r="G35" s="16">
        <v>46228</v>
      </c>
      <c r="H35" s="13"/>
    </row>
    <row r="36" spans="1:8" ht="21.4" thickBot="1" x14ac:dyDescent="0.5">
      <c r="A36" s="11" t="s">
        <v>106</v>
      </c>
      <c r="B36" s="12"/>
      <c r="C36" s="12" t="s">
        <v>45</v>
      </c>
      <c r="D36" s="13" t="s">
        <v>107</v>
      </c>
      <c r="E36" s="14" t="s">
        <v>15</v>
      </c>
      <c r="F36" s="15">
        <v>0</v>
      </c>
      <c r="G36" s="16">
        <v>46228</v>
      </c>
      <c r="H36" s="13"/>
    </row>
    <row r="37" spans="1:8" x14ac:dyDescent="0.45">
      <c r="A37" s="17" t="s">
        <v>108</v>
      </c>
      <c r="B37" s="18" t="s">
        <v>109</v>
      </c>
      <c r="C37" s="19" t="s">
        <v>110</v>
      </c>
      <c r="D37" s="20" t="s">
        <v>111</v>
      </c>
      <c r="E37" s="21" t="s">
        <v>15</v>
      </c>
      <c r="F37" s="22">
        <v>0</v>
      </c>
      <c r="G37" s="23">
        <v>46230</v>
      </c>
      <c r="H37" s="20"/>
    </row>
    <row r="38" spans="1:8" x14ac:dyDescent="0.45">
      <c r="A38" s="24" t="s">
        <v>112</v>
      </c>
      <c r="B38" s="25"/>
      <c r="C38" s="25" t="s">
        <v>113</v>
      </c>
      <c r="D38" s="26" t="s">
        <v>114</v>
      </c>
      <c r="E38" s="27" t="s">
        <v>15</v>
      </c>
      <c r="F38" s="28">
        <v>0</v>
      </c>
      <c r="G38" s="29">
        <v>46230</v>
      </c>
      <c r="H38" s="26"/>
    </row>
    <row r="39" spans="1:8" ht="21" x14ac:dyDescent="0.45">
      <c r="A39" s="24" t="s">
        <v>115</v>
      </c>
      <c r="B39" s="25"/>
      <c r="C39" s="25" t="s">
        <v>116</v>
      </c>
      <c r="D39" s="26" t="s">
        <v>117</v>
      </c>
      <c r="E39" s="27" t="s">
        <v>15</v>
      </c>
      <c r="F39" s="28">
        <v>0</v>
      </c>
      <c r="G39" s="29">
        <v>46230</v>
      </c>
      <c r="H39" s="26"/>
    </row>
    <row r="40" spans="1:8" ht="14.65" thickBot="1" x14ac:dyDescent="0.5">
      <c r="A40" s="24" t="s">
        <v>118</v>
      </c>
      <c r="B40" s="25"/>
      <c r="C40" s="25" t="s">
        <v>45</v>
      </c>
      <c r="D40" s="26" t="s">
        <v>119</v>
      </c>
      <c r="E40" s="27" t="s">
        <v>15</v>
      </c>
      <c r="F40" s="28">
        <v>0</v>
      </c>
      <c r="G40" s="29">
        <v>46230</v>
      </c>
      <c r="H40" s="26"/>
    </row>
    <row r="41" spans="1:8" ht="21" x14ac:dyDescent="0.45">
      <c r="A41" s="4" t="s">
        <v>120</v>
      </c>
      <c r="B41" s="5" t="s">
        <v>121</v>
      </c>
      <c r="C41" s="6" t="s">
        <v>122</v>
      </c>
      <c r="D41" s="7" t="s">
        <v>123</v>
      </c>
      <c r="E41" s="8" t="s">
        <v>15</v>
      </c>
      <c r="F41" s="9">
        <v>0</v>
      </c>
      <c r="G41" s="10">
        <v>46232</v>
      </c>
      <c r="H41" s="7"/>
    </row>
    <row r="42" spans="1:8" x14ac:dyDescent="0.45">
      <c r="A42" s="11" t="s">
        <v>124</v>
      </c>
      <c r="B42" s="12"/>
      <c r="C42" s="12" t="s">
        <v>45</v>
      </c>
      <c r="D42" s="13" t="s">
        <v>125</v>
      </c>
      <c r="E42" s="14" t="s">
        <v>15</v>
      </c>
      <c r="F42" s="15">
        <v>0</v>
      </c>
      <c r="G42" s="16">
        <v>46232</v>
      </c>
      <c r="H42" s="13"/>
    </row>
    <row r="43" spans="1:8" ht="21.4" thickBot="1" x14ac:dyDescent="0.5">
      <c r="A43" s="11" t="s">
        <v>126</v>
      </c>
      <c r="B43" s="12"/>
      <c r="C43" s="12" t="s">
        <v>48</v>
      </c>
      <c r="D43" s="13" t="s">
        <v>127</v>
      </c>
      <c r="E43" s="14" t="s">
        <v>15</v>
      </c>
      <c r="F43" s="15">
        <v>0</v>
      </c>
      <c r="G43" s="16">
        <v>46232</v>
      </c>
      <c r="H43" s="13"/>
    </row>
    <row r="44" spans="1:8" ht="21" x14ac:dyDescent="0.45">
      <c r="A44" s="17" t="s">
        <v>128</v>
      </c>
      <c r="B44" s="18" t="s">
        <v>129</v>
      </c>
      <c r="C44" s="19" t="s">
        <v>130</v>
      </c>
      <c r="D44" s="20" t="s">
        <v>131</v>
      </c>
      <c r="E44" s="21" t="s">
        <v>15</v>
      </c>
      <c r="F44" s="22">
        <v>0</v>
      </c>
      <c r="G44" s="23">
        <v>46238</v>
      </c>
      <c r="H44" s="20"/>
    </row>
    <row r="45" spans="1:8" ht="21" x14ac:dyDescent="0.45">
      <c r="A45" s="24" t="s">
        <v>132</v>
      </c>
      <c r="B45" s="25"/>
      <c r="C45" s="25" t="s">
        <v>133</v>
      </c>
      <c r="D45" s="26" t="s">
        <v>134</v>
      </c>
      <c r="E45" s="27" t="s">
        <v>15</v>
      </c>
      <c r="F45" s="28">
        <v>0</v>
      </c>
      <c r="G45" s="29">
        <v>46238</v>
      </c>
      <c r="H45" s="26"/>
    </row>
    <row r="46" spans="1:8" ht="21" x14ac:dyDescent="0.45">
      <c r="A46" s="24" t="s">
        <v>135</v>
      </c>
      <c r="B46" s="25"/>
      <c r="C46" s="25" t="s">
        <v>136</v>
      </c>
      <c r="D46" s="26" t="s">
        <v>137</v>
      </c>
      <c r="E46" s="27" t="s">
        <v>15</v>
      </c>
      <c r="F46" s="28">
        <v>0</v>
      </c>
      <c r="G46" s="29">
        <v>46238</v>
      </c>
      <c r="H46" s="26"/>
    </row>
    <row r="49" ht="27.75" customHeight="1" x14ac:dyDescent="0.45"/>
  </sheetData>
  <mergeCells count="3">
    <mergeCell ref="A1:H1"/>
    <mergeCell ref="A2:H2"/>
    <mergeCell ref="C3:E3"/>
  </mergeCells>
  <conditionalFormatting sqref="E5:E46">
    <cfRule type="expression" dxfId="5" priority="1" stopIfTrue="1">
      <formula>$E5="Blocked"</formula>
    </cfRule>
    <cfRule type="expression" dxfId="4" priority="2" stopIfTrue="1">
      <formula>$E5="Done"</formula>
    </cfRule>
    <cfRule type="expression" dxfId="3" priority="3" stopIfTrue="1">
      <formula>$E5="In Progress"</formula>
    </cfRule>
    <cfRule type="expression" dxfId="2" priority="4" stopIfTrue="1">
      <formula>$E5="N/A"</formula>
    </cfRule>
    <cfRule type="expression" dxfId="1" priority="5" stopIfTrue="1">
      <formula>$E5="Not Started"</formula>
    </cfRule>
  </conditionalFormatting>
  <conditionalFormatting sqref="F5:F46">
    <cfRule type="dataBar" priority="6">
      <dataBar>
        <cfvo type="num" val="0"/>
        <cfvo type="num" val="1"/>
        <color rgb="FF4E79A7"/>
      </dataBar>
    </cfRule>
  </conditionalFormatting>
  <conditionalFormatting sqref="G5:G46">
    <cfRule type="expression" dxfId="0" priority="7" stopIfTrue="1">
      <formula>AND($G5&lt;TODAY(),$E5&lt;&gt;"Done",$E5&lt;&gt;"N/A")</formula>
    </cfRule>
  </conditionalFormatting>
  <dataValidations count="1">
    <dataValidation type="list" allowBlank="1" sqref="E5:E46" xr:uid="{EFC0136B-A159-4627-8753-003E6DA97ED5}">
      <formula1>"Not Started,In Progress,Blocked,Done,N/A"</formula1>
    </dataValidation>
  </dataValidation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Tracker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Narula, Ritvik</cp:lastModifiedBy>
  <dcterms:created xsi:type="dcterms:W3CDTF">2026-07-02T15:06:53Z</dcterms:created>
  <dcterms:modified xsi:type="dcterms:W3CDTF">2026-07-02T19:06:42Z</dcterms:modified>
</cp:coreProperties>
</file>